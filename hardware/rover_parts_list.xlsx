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uben\rover\hardware\"/>
    </mc:Choice>
  </mc:AlternateContent>
  <xr:revisionPtr revIDLastSave="0" documentId="13_ncr:1_{82E6B28F-1420-42F6-A0CC-63948FD8D38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1" l="1"/>
  <c r="D39" i="1" s="1"/>
  <c r="B38" i="1"/>
  <c r="D38" i="1" s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C24" i="1"/>
  <c r="D24" i="1" s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2" i="1"/>
  <c r="D2" i="1" s="1"/>
  <c r="H2" i="1" s="1"/>
</calcChain>
</file>

<file path=xl/sharedStrings.xml><?xml version="1.0" encoding="utf-8"?>
<sst xmlns="http://schemas.openxmlformats.org/spreadsheetml/2006/main" count="86" uniqueCount="59">
  <si>
    <t>Produkt</t>
  </si>
  <si>
    <t>Kosten</t>
  </si>
  <si>
    <t>Anzahl</t>
  </si>
  <si>
    <t>Summe</t>
  </si>
  <si>
    <t>Bezugsquelle</t>
  </si>
  <si>
    <t>Insgesamt                            mn</t>
  </si>
  <si>
    <t>pro Rover</t>
  </si>
  <si>
    <t>Esp32C3</t>
  </si>
  <si>
    <t>Mouser</t>
  </si>
  <si>
    <t>TC1508A</t>
  </si>
  <si>
    <t>Christian</t>
  </si>
  <si>
    <t>Li-ion safe</t>
  </si>
  <si>
    <t>Platine</t>
  </si>
  <si>
    <t>motor</t>
  </si>
  <si>
    <t>TOF</t>
  </si>
  <si>
    <t>Optoreflexkoppler</t>
  </si>
  <si>
    <t>Medicometer</t>
  </si>
  <si>
    <t>Grüne LED</t>
  </si>
  <si>
    <t>RGB LED</t>
  </si>
  <si>
    <t>Weiße LED</t>
  </si>
  <si>
    <t>OLED Display</t>
  </si>
  <si>
    <t>TODO</t>
  </si>
  <si>
    <t>Akku</t>
  </si>
  <si>
    <t>vorhanden</t>
  </si>
  <si>
    <t>Pla</t>
  </si>
  <si>
    <t>Kabel</t>
  </si>
  <si>
    <t>Header</t>
  </si>
  <si>
    <t>verschiedene, siehe headers.xlsx</t>
  </si>
  <si>
    <t>Schalter</t>
  </si>
  <si>
    <t>Reichelt</t>
  </si>
  <si>
    <t>bissle unterdimensioniert</t>
  </si>
  <si>
    <t>USB-B Buchse</t>
  </si>
  <si>
    <t>Pollin</t>
  </si>
  <si>
    <t>USB-Kabel</t>
  </si>
  <si>
    <t>JST-Stecker XH 2pol für Akku auf Platine</t>
  </si>
  <si>
    <t>JST-Buchse XH 2pol für Akku</t>
  </si>
  <si>
    <t>JST-Stecker 4pol für Li-ion safe (Platine)</t>
  </si>
  <si>
    <t>optional, kann auch gelötet werden</t>
  </si>
  <si>
    <t>JST-Buchse 4pol für Li-ion safe (Modul)</t>
  </si>
  <si>
    <t>Kontakte XH</t>
  </si>
  <si>
    <t>sind erstmal vorhanden; gibt es auch bei Eckstein</t>
  </si>
  <si>
    <t>Diode 1N5817</t>
  </si>
  <si>
    <t>Powerbank</t>
  </si>
  <si>
    <t>https://www.pollin.de/p/logilink-powerbank-pa0316-10-000mah-schwarz-2-fach-usb-a-ausgang-273339</t>
  </si>
  <si>
    <t>Karton</t>
  </si>
  <si>
    <t>Widerstand 4,7k</t>
  </si>
  <si>
    <t>Widerstand 15k</t>
  </si>
  <si>
    <t>Widerstand 150</t>
  </si>
  <si>
    <t>Vorhanden (160Ohm)</t>
  </si>
  <si>
    <t>Widerstand 100</t>
  </si>
  <si>
    <t>Widerstand 1k</t>
  </si>
  <si>
    <t>Widerstand 330</t>
  </si>
  <si>
    <t>Kondensator 100nF</t>
  </si>
  <si>
    <t>Kondensator 1000µF</t>
  </si>
  <si>
    <t xml:space="preserve">Pfostenbuchse 2*5 Flachband </t>
  </si>
  <si>
    <t>Taster</t>
  </si>
  <si>
    <t>USB-Kabel ½ A gelötet</t>
  </si>
  <si>
    <t>ToF-Kabel</t>
  </si>
  <si>
    <t>Christian nur 1/3 des Preises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</si>
</sst>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de/ProductDetail/Adafruit/3094?qs=SV%252B0z0o3NTt%2F2YK7E3w5Rg%3D%3D" TargetMode="External"/><Relationship Id="rId13" Type="http://schemas.openxmlformats.org/officeDocument/2006/relationships/hyperlink" Target="https://www.reichelt.de/de/de/shop/produkt/jst_-_stiftleiste_gerade_1x2-polig_-_xh-185073" TargetMode="External"/><Relationship Id="rId18" Type="http://schemas.openxmlformats.org/officeDocument/2006/relationships/hyperlink" Target="https://www.pollin.de/p/dioden-1n5817-1-a-20-v-10-stueck-140542" TargetMode="External"/><Relationship Id="rId3" Type="http://schemas.openxmlformats.org/officeDocument/2006/relationships/hyperlink" Target="https://www.christians-shop.de/1S-37V-3A-Li-Ion-BMS-PCM-Batterie-Schutz-Board-PCM-fuer-18650-Li-Ion-Batterie" TargetMode="External"/><Relationship Id="rId21" Type="http://schemas.openxmlformats.org/officeDocument/2006/relationships/hyperlink" Target="https://www.mouser.de/de/ProductDetail/Vishay-BC-Components/K104K15X7RF53K2?qs=csx2tJjGIuO338O2QcUpaQ%3D%3D" TargetMode="External"/><Relationship Id="rId7" Type="http://schemas.openxmlformats.org/officeDocument/2006/relationships/hyperlink" Target="https://www.mouser.de/de/ProductDetail/LITEON/LTL2R3KGD-EM?qs=sGAEpiMZZMvVL5Kk7ZYykddVguNoKifSaeen5TVKuXk%3D" TargetMode="External"/><Relationship Id="rId12" Type="http://schemas.openxmlformats.org/officeDocument/2006/relationships/hyperlink" Target="https://www.pollin.de/p/s-impuls-usb2-0-anschlusskabel-a-b-0-25-m-713198" TargetMode="External"/><Relationship Id="rId17" Type="http://schemas.openxmlformats.org/officeDocument/2006/relationships/hyperlink" Target="https://www.reichelt.de/de/de/shop/produkt/jst_-_crimpkontakt_buchse_-_xh-185091" TargetMode="External"/><Relationship Id="rId25" Type="http://schemas.openxmlformats.org/officeDocument/2006/relationships/hyperlink" Target="https://www.pollin.de/p/steckboard-verbindungsleitungen-stecker-kupplung-40-polig-511158" TargetMode="External"/><Relationship Id="rId2" Type="http://schemas.openxmlformats.org/officeDocument/2006/relationships/hyperlink" Target="https://www.christians-shop.de/L298N-dual-H-Bruecke-Treiber-fuer-2-DC-Motoren-mit-PWM-Geschwindigkeit-oder-einem-Schrittmotor" TargetMode="External"/><Relationship Id="rId16" Type="http://schemas.openxmlformats.org/officeDocument/2006/relationships/hyperlink" Target="https://www.reichelt.de/de/de/shop/produkt/jst_-_buchsengehaeuse_1x4-polig_-_xh-185087" TargetMode="External"/><Relationship Id="rId20" Type="http://schemas.openxmlformats.org/officeDocument/2006/relationships/hyperlink" Target="https://www.reichelt.de/de/de/shop/produkt/widerstand_kohleschicht_100_ohm_0207_250_mw_5_-1336" TargetMode="External"/><Relationship Id="rId1" Type="http://schemas.openxmlformats.org/officeDocument/2006/relationships/hyperlink" Target="https://www.mouser.de/de/ProductDetail/Seeed-Studio/102010633?qs=sqEgtWRSLJ2E8a0kDnxKyg%3D%3D" TargetMode="External"/><Relationship Id="rId6" Type="http://schemas.openxmlformats.org/officeDocument/2006/relationships/hyperlink" Target="https://www.ebay.de/itm/197034719340?itmmeta=01M2KN2B9K2YVVJHYWNACTKAA4&amp;hash=item2de02f386c:g:IlMAAOSwPQZgqBKs" TargetMode="External"/><Relationship Id="rId11" Type="http://schemas.openxmlformats.org/officeDocument/2006/relationships/hyperlink" Target="https://www.pollin.de/p/usb-b-einbaubuchse-900-450547" TargetMode="External"/><Relationship Id="rId24" Type="http://schemas.openxmlformats.org/officeDocument/2006/relationships/hyperlink" Target="https://www.pollin.de/p/s-impuls-usb2-0-anschlusskabel-a-b-0-25-m-713198" TargetMode="External"/><Relationship Id="rId5" Type="http://schemas.openxmlformats.org/officeDocument/2006/relationships/hyperlink" Target="https://www.christians-shop.de/GY-530-VL53L0X-Time-of-Flight-ToF-Flugzeit-Entfernungsmesssensor" TargetMode="External"/><Relationship Id="rId15" Type="http://schemas.openxmlformats.org/officeDocument/2006/relationships/hyperlink" Target="https://www.reichelt.de/de/de/shop/produkt/jst_-_stiftleiste_gerade_1x4-polig_-_xh-185075" TargetMode="External"/><Relationship Id="rId23" Type="http://schemas.openxmlformats.org/officeDocument/2006/relationships/hyperlink" Target="https://www.mouser.de/de/ProductDetail/Same-Sky/TS02-66-95-BK-160-LCR-D?qs=A6eO%252BMLsxmTlIRxhk6UZeg%3D%3D" TargetMode="External"/><Relationship Id="rId10" Type="http://schemas.openxmlformats.org/officeDocument/2006/relationships/hyperlink" Target="https://www.reichelt.de/de/de/shop/produkt/schiebeschalter-miniatur_loetanschluss_2x_um_sw-19976" TargetMode="External"/><Relationship Id="rId19" Type="http://schemas.openxmlformats.org/officeDocument/2006/relationships/hyperlink" Target="https://www.reichelt.de/de/de/shop/produkt/widerstand_kohleschicht_4_7_kohm_0207_250_mw_5_-1425" TargetMode="External"/><Relationship Id="rId4" Type="http://schemas.openxmlformats.org/officeDocument/2006/relationships/hyperlink" Target="https://www.christians-shop.de/Intelligentes-Roboter-Rad-65mm-Rad-Rad-mit-DC-Getriebe-Motor-fuer-Roboter-Smart-Car-und-Arduino" TargetMode="External"/><Relationship Id="rId9" Type="http://schemas.openxmlformats.org/officeDocument/2006/relationships/hyperlink" Target="https://www.mouser.de/de/ProductDetail/Inolux/INL-5AW30?qs=qSfuJ%252Bfl%2Fd4MUXtc27VAsw%3D%3D" TargetMode="External"/><Relationship Id="rId14" Type="http://schemas.openxmlformats.org/officeDocument/2006/relationships/hyperlink" Target="https://www.reichelt.de/de/de/shop/produkt/jst_-_buchsengehaeuse_1x2-polig_-_xh-185085" TargetMode="External"/><Relationship Id="rId22" Type="http://schemas.openxmlformats.org/officeDocument/2006/relationships/hyperlink" Target="https://www.pollin.de/p/econ-connect-pfostenbuchse-fuer-flachbandleitung-rm-2-54-10-polig-451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Normal="100" workbookViewId="0">
      <selection activeCell="B2" sqref="B2"/>
    </sheetView>
  </sheetViews>
  <sheetFormatPr defaultColWidth="8.6328125" defaultRowHeight="14.5" x14ac:dyDescent="0.35"/>
  <cols>
    <col min="1" max="1" width="37" customWidth="1"/>
    <col min="5" max="5" width="19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6</v>
      </c>
    </row>
    <row r="2" spans="1:10" x14ac:dyDescent="0.35">
      <c r="A2" t="s">
        <v>7</v>
      </c>
      <c r="B2">
        <f>5.07*1.19</f>
        <v>6.0332999999999997</v>
      </c>
      <c r="C2">
        <v>1</v>
      </c>
      <c r="D2">
        <f t="shared" ref="D2:D39" si="0">B2*C2</f>
        <v>6.0332999999999997</v>
      </c>
      <c r="E2" t="s">
        <v>8</v>
      </c>
      <c r="H2">
        <f>SUM(D2:D102)</f>
        <v>27.113900000000001</v>
      </c>
    </row>
    <row r="3" spans="1:10" x14ac:dyDescent="0.35">
      <c r="A3" t="s">
        <v>9</v>
      </c>
      <c r="B3">
        <v>0.44</v>
      </c>
      <c r="C3">
        <v>1</v>
      </c>
      <c r="D3">
        <f t="shared" si="0"/>
        <v>0.44</v>
      </c>
      <c r="E3" t="s">
        <v>10</v>
      </c>
    </row>
    <row r="4" spans="1:10" x14ac:dyDescent="0.35">
      <c r="A4" t="s">
        <v>11</v>
      </c>
      <c r="B4">
        <v>0.69</v>
      </c>
      <c r="D4">
        <f t="shared" si="0"/>
        <v>0</v>
      </c>
      <c r="E4" t="s">
        <v>10</v>
      </c>
    </row>
    <row r="5" spans="1:10" x14ac:dyDescent="0.35">
      <c r="A5" t="s">
        <v>12</v>
      </c>
      <c r="B5">
        <v>1.1000000000000001</v>
      </c>
      <c r="C5">
        <v>1</v>
      </c>
      <c r="D5">
        <f t="shared" si="0"/>
        <v>1.1000000000000001</v>
      </c>
    </row>
    <row r="6" spans="1:10" x14ac:dyDescent="0.35">
      <c r="A6" t="s">
        <v>13</v>
      </c>
      <c r="B6">
        <v>1.92</v>
      </c>
      <c r="C6">
        <v>2</v>
      </c>
      <c r="D6">
        <f t="shared" si="0"/>
        <v>3.84</v>
      </c>
      <c r="E6" t="s">
        <v>10</v>
      </c>
    </row>
    <row r="7" spans="1:10" x14ac:dyDescent="0.35">
      <c r="A7" t="s">
        <v>14</v>
      </c>
      <c r="B7">
        <v>2.06</v>
      </c>
      <c r="C7">
        <v>1</v>
      </c>
      <c r="D7">
        <f t="shared" si="0"/>
        <v>2.06</v>
      </c>
      <c r="E7" t="s">
        <v>10</v>
      </c>
    </row>
    <row r="8" spans="1:10" x14ac:dyDescent="0.35">
      <c r="A8" t="s">
        <v>15</v>
      </c>
      <c r="B8">
        <v>0.5</v>
      </c>
      <c r="C8">
        <v>1</v>
      </c>
      <c r="D8">
        <f t="shared" si="0"/>
        <v>0.5</v>
      </c>
      <c r="E8" t="s">
        <v>16</v>
      </c>
    </row>
    <row r="9" spans="1:10" x14ac:dyDescent="0.35">
      <c r="A9" t="s">
        <v>17</v>
      </c>
      <c r="B9">
        <v>9.4E-2</v>
      </c>
      <c r="C9">
        <v>1</v>
      </c>
      <c r="D9">
        <f t="shared" si="0"/>
        <v>9.4E-2</v>
      </c>
      <c r="E9" t="s">
        <v>8</v>
      </c>
    </row>
    <row r="10" spans="1:10" x14ac:dyDescent="0.35">
      <c r="A10" t="s">
        <v>18</v>
      </c>
      <c r="B10">
        <v>0.2576</v>
      </c>
      <c r="C10">
        <v>1</v>
      </c>
      <c r="D10">
        <f t="shared" si="0"/>
        <v>0.2576</v>
      </c>
      <c r="E10" t="s">
        <v>8</v>
      </c>
    </row>
    <row r="11" spans="1:10" x14ac:dyDescent="0.35">
      <c r="A11" t="s">
        <v>19</v>
      </c>
      <c r="B11">
        <v>0.114</v>
      </c>
      <c r="C11">
        <v>2</v>
      </c>
      <c r="D11">
        <f t="shared" si="0"/>
        <v>0.22800000000000001</v>
      </c>
      <c r="E11" t="s">
        <v>8</v>
      </c>
    </row>
    <row r="12" spans="1:10" x14ac:dyDescent="0.35">
      <c r="A12" t="s">
        <v>20</v>
      </c>
      <c r="B12">
        <v>2.31</v>
      </c>
      <c r="D12">
        <f t="shared" si="0"/>
        <v>0</v>
      </c>
      <c r="F12" t="s">
        <v>21</v>
      </c>
    </row>
    <row r="13" spans="1:10" x14ac:dyDescent="0.35">
      <c r="A13" t="s">
        <v>22</v>
      </c>
      <c r="B13">
        <v>0.5</v>
      </c>
      <c r="D13">
        <f t="shared" si="0"/>
        <v>0</v>
      </c>
      <c r="E13" t="s">
        <v>23</v>
      </c>
    </row>
    <row r="14" spans="1:10" x14ac:dyDescent="0.35">
      <c r="A14" t="s">
        <v>24</v>
      </c>
      <c r="B14">
        <v>1</v>
      </c>
      <c r="C14">
        <v>1</v>
      </c>
      <c r="D14">
        <f t="shared" si="0"/>
        <v>1</v>
      </c>
      <c r="E14" t="s">
        <v>23</v>
      </c>
    </row>
    <row r="15" spans="1:10" x14ac:dyDescent="0.35">
      <c r="A15" t="s">
        <v>25</v>
      </c>
      <c r="B15">
        <v>1</v>
      </c>
      <c r="C15">
        <v>1</v>
      </c>
      <c r="D15">
        <f t="shared" si="0"/>
        <v>1</v>
      </c>
      <c r="E15" t="s">
        <v>23</v>
      </c>
    </row>
    <row r="16" spans="1:10" x14ac:dyDescent="0.35">
      <c r="A16" t="s">
        <v>26</v>
      </c>
      <c r="B16">
        <v>2.16</v>
      </c>
      <c r="C16">
        <v>1</v>
      </c>
      <c r="D16">
        <f t="shared" si="0"/>
        <v>2.16</v>
      </c>
      <c r="E16" t="s">
        <v>27</v>
      </c>
    </row>
    <row r="17" spans="1:6" x14ac:dyDescent="0.35">
      <c r="A17" t="s">
        <v>28</v>
      </c>
      <c r="B17">
        <v>0.48</v>
      </c>
      <c r="C17">
        <v>1</v>
      </c>
      <c r="D17">
        <f t="shared" si="0"/>
        <v>0.48</v>
      </c>
      <c r="E17" t="s">
        <v>29</v>
      </c>
      <c r="F17" t="s">
        <v>30</v>
      </c>
    </row>
    <row r="18" spans="1:6" x14ac:dyDescent="0.35">
      <c r="A18" t="s">
        <v>31</v>
      </c>
      <c r="B18">
        <v>0.4</v>
      </c>
      <c r="D18">
        <f t="shared" si="0"/>
        <v>0</v>
      </c>
      <c r="E18" t="s">
        <v>32</v>
      </c>
    </row>
    <row r="19" spans="1:6" x14ac:dyDescent="0.35">
      <c r="A19" t="s">
        <v>33</v>
      </c>
      <c r="B19">
        <v>0.65</v>
      </c>
      <c r="D19">
        <f t="shared" si="0"/>
        <v>0</v>
      </c>
      <c r="E19" t="s">
        <v>32</v>
      </c>
    </row>
    <row r="20" spans="1:6" x14ac:dyDescent="0.35">
      <c r="A20" t="s">
        <v>34</v>
      </c>
      <c r="B20">
        <v>0.17</v>
      </c>
      <c r="D20">
        <f t="shared" si="0"/>
        <v>0</v>
      </c>
      <c r="E20" t="s">
        <v>29</v>
      </c>
    </row>
    <row r="21" spans="1:6" x14ac:dyDescent="0.35">
      <c r="A21" t="s">
        <v>35</v>
      </c>
      <c r="B21">
        <v>0.05</v>
      </c>
      <c r="D21">
        <f t="shared" si="0"/>
        <v>0</v>
      </c>
      <c r="E21" t="s">
        <v>29</v>
      </c>
    </row>
    <row r="22" spans="1:6" x14ac:dyDescent="0.35">
      <c r="A22" t="s">
        <v>36</v>
      </c>
      <c r="B22">
        <v>0.2</v>
      </c>
      <c r="D22">
        <f t="shared" si="0"/>
        <v>0</v>
      </c>
      <c r="E22" t="s">
        <v>29</v>
      </c>
      <c r="F22" t="s">
        <v>37</v>
      </c>
    </row>
    <row r="23" spans="1:6" x14ac:dyDescent="0.35">
      <c r="A23" t="s">
        <v>38</v>
      </c>
      <c r="B23">
        <v>7.0000000000000007E-2</v>
      </c>
      <c r="D23">
        <f t="shared" si="0"/>
        <v>0</v>
      </c>
      <c r="E23" t="s">
        <v>29</v>
      </c>
      <c r="F23" t="s">
        <v>37</v>
      </c>
    </row>
    <row r="24" spans="1:6" x14ac:dyDescent="0.35">
      <c r="A24" t="s">
        <v>39</v>
      </c>
      <c r="B24">
        <v>0.08</v>
      </c>
      <c r="C24">
        <f>4*C22+2*C20</f>
        <v>0</v>
      </c>
      <c r="D24">
        <f t="shared" si="0"/>
        <v>0</v>
      </c>
      <c r="E24" t="s">
        <v>29</v>
      </c>
      <c r="F24" t="s">
        <v>40</v>
      </c>
    </row>
    <row r="25" spans="1:6" x14ac:dyDescent="0.35">
      <c r="A25" t="s">
        <v>41</v>
      </c>
      <c r="B25">
        <v>0.03</v>
      </c>
      <c r="C25">
        <v>1</v>
      </c>
      <c r="D25">
        <f t="shared" si="0"/>
        <v>0.03</v>
      </c>
      <c r="E25" t="s">
        <v>32</v>
      </c>
    </row>
    <row r="26" spans="1:6" x14ac:dyDescent="0.35">
      <c r="A26" t="s">
        <v>42</v>
      </c>
      <c r="B26">
        <v>5.95</v>
      </c>
      <c r="C26">
        <v>1</v>
      </c>
      <c r="D26">
        <f t="shared" si="0"/>
        <v>5.95</v>
      </c>
      <c r="E26" t="s">
        <v>43</v>
      </c>
    </row>
    <row r="27" spans="1:6" x14ac:dyDescent="0.35">
      <c r="A27" t="s">
        <v>44</v>
      </c>
      <c r="B27">
        <v>0.4</v>
      </c>
      <c r="C27">
        <v>1</v>
      </c>
      <c r="D27">
        <f t="shared" si="0"/>
        <v>0.4</v>
      </c>
    </row>
    <row r="28" spans="1:6" x14ac:dyDescent="0.35">
      <c r="A28" t="s">
        <v>45</v>
      </c>
      <c r="B28">
        <v>6.0000000000000001E-3</v>
      </c>
      <c r="C28">
        <v>2</v>
      </c>
      <c r="D28">
        <f t="shared" si="0"/>
        <v>1.2E-2</v>
      </c>
      <c r="E28" t="s">
        <v>29</v>
      </c>
    </row>
    <row r="29" spans="1:6" x14ac:dyDescent="0.35">
      <c r="A29" t="s">
        <v>46</v>
      </c>
      <c r="B29">
        <v>6.0000000000000001E-3</v>
      </c>
      <c r="C29">
        <v>2</v>
      </c>
      <c r="D29">
        <f t="shared" si="0"/>
        <v>1.2E-2</v>
      </c>
      <c r="E29" t="s">
        <v>23</v>
      </c>
    </row>
    <row r="30" spans="1:6" x14ac:dyDescent="0.35">
      <c r="A30" t="s">
        <v>47</v>
      </c>
      <c r="B30">
        <v>6.0000000000000001E-3</v>
      </c>
      <c r="C30">
        <v>2</v>
      </c>
      <c r="D30">
        <f t="shared" si="0"/>
        <v>1.2E-2</v>
      </c>
      <c r="E30" t="s">
        <v>48</v>
      </c>
    </row>
    <row r="31" spans="1:6" x14ac:dyDescent="0.35">
      <c r="A31" t="s">
        <v>49</v>
      </c>
      <c r="B31">
        <v>5.0000000000000001E-3</v>
      </c>
      <c r="C31">
        <v>2</v>
      </c>
      <c r="D31">
        <f t="shared" si="0"/>
        <v>0.01</v>
      </c>
      <c r="E31" t="s">
        <v>29</v>
      </c>
    </row>
    <row r="32" spans="1:6" x14ac:dyDescent="0.35">
      <c r="A32" t="s">
        <v>50</v>
      </c>
      <c r="B32">
        <v>6.0000000000000001E-3</v>
      </c>
      <c r="C32">
        <v>2</v>
      </c>
      <c r="D32">
        <f t="shared" si="0"/>
        <v>1.2E-2</v>
      </c>
      <c r="E32" t="s">
        <v>23</v>
      </c>
    </row>
    <row r="33" spans="1:6" x14ac:dyDescent="0.35">
      <c r="A33" t="s">
        <v>51</v>
      </c>
      <c r="B33">
        <v>6.0000000000000001E-3</v>
      </c>
      <c r="C33">
        <v>2</v>
      </c>
      <c r="D33">
        <f t="shared" si="0"/>
        <v>1.2E-2</v>
      </c>
      <c r="E33" t="s">
        <v>23</v>
      </c>
    </row>
    <row r="34" spans="1:6" x14ac:dyDescent="0.35">
      <c r="A34" t="s">
        <v>52</v>
      </c>
      <c r="B34">
        <v>6.5000000000000002E-2</v>
      </c>
      <c r="C34">
        <v>7</v>
      </c>
      <c r="D34">
        <f t="shared" si="0"/>
        <v>0.45500000000000002</v>
      </c>
      <c r="E34" t="s">
        <v>8</v>
      </c>
    </row>
    <row r="35" spans="1:6" x14ac:dyDescent="0.35">
      <c r="A35" t="s">
        <v>53</v>
      </c>
      <c r="B35">
        <v>0.5</v>
      </c>
      <c r="D35">
        <f t="shared" si="0"/>
        <v>0</v>
      </c>
      <c r="E35" t="s">
        <v>23</v>
      </c>
    </row>
    <row r="36" spans="1:6" x14ac:dyDescent="0.35">
      <c r="A36" t="s">
        <v>54</v>
      </c>
      <c r="B36">
        <v>0.12</v>
      </c>
      <c r="C36">
        <v>2</v>
      </c>
      <c r="D36">
        <f t="shared" si="0"/>
        <v>0.24</v>
      </c>
      <c r="E36" t="s">
        <v>32</v>
      </c>
    </row>
    <row r="37" spans="1:6" x14ac:dyDescent="0.35">
      <c r="A37" t="s">
        <v>55</v>
      </c>
      <c r="B37">
        <v>8.1000000000000003E-2</v>
      </c>
      <c r="C37">
        <v>1</v>
      </c>
      <c r="D37">
        <f t="shared" si="0"/>
        <v>8.1000000000000003E-2</v>
      </c>
      <c r="E37" t="s">
        <v>8</v>
      </c>
    </row>
    <row r="38" spans="1:6" x14ac:dyDescent="0.35">
      <c r="A38" t="s">
        <v>56</v>
      </c>
      <c r="B38">
        <f>0.64/2</f>
        <v>0.32</v>
      </c>
      <c r="C38">
        <v>1</v>
      </c>
      <c r="D38">
        <f t="shared" si="0"/>
        <v>0.32</v>
      </c>
      <c r="E38" t="s">
        <v>32</v>
      </c>
    </row>
    <row r="39" spans="1:6" x14ac:dyDescent="0.35">
      <c r="A39" t="s">
        <v>57</v>
      </c>
      <c r="B39">
        <f>3.75/10</f>
        <v>0.375</v>
      </c>
      <c r="C39">
        <v>1</v>
      </c>
      <c r="D39">
        <f t="shared" si="0"/>
        <v>0.375</v>
      </c>
      <c r="E39" t="s">
        <v>32</v>
      </c>
      <c r="F39" t="s">
        <v>58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7" r:id="rId10" xr:uid="{00000000-0004-0000-0000-000009000000}"/>
    <hyperlink ref="E18" r:id="rId11" xr:uid="{00000000-0004-0000-0000-00000A000000}"/>
    <hyperlink ref="E19" r:id="rId12" xr:uid="{00000000-0004-0000-0000-00000B000000}"/>
    <hyperlink ref="E20" r:id="rId13" xr:uid="{00000000-0004-0000-0000-00000C000000}"/>
    <hyperlink ref="E21" r:id="rId14" xr:uid="{00000000-0004-0000-0000-00000D000000}"/>
    <hyperlink ref="E22" r:id="rId15" xr:uid="{00000000-0004-0000-0000-00000E000000}"/>
    <hyperlink ref="E23" r:id="rId16" xr:uid="{00000000-0004-0000-0000-00000F000000}"/>
    <hyperlink ref="E24" r:id="rId17" xr:uid="{00000000-0004-0000-0000-000010000000}"/>
    <hyperlink ref="E25" r:id="rId18" xr:uid="{00000000-0004-0000-0000-000011000000}"/>
    <hyperlink ref="E28" r:id="rId19" xr:uid="{00000000-0004-0000-0000-000012000000}"/>
    <hyperlink ref="E31" r:id="rId20" xr:uid="{00000000-0004-0000-0000-000013000000}"/>
    <hyperlink ref="E34" r:id="rId21" xr:uid="{00000000-0004-0000-0000-000014000000}"/>
    <hyperlink ref="E36" r:id="rId22" xr:uid="{00000000-0004-0000-0000-000015000000}"/>
    <hyperlink ref="E37" r:id="rId23" xr:uid="{00000000-0004-0000-0000-000016000000}"/>
    <hyperlink ref="E38" r:id="rId24" xr:uid="{00000000-0004-0000-0000-000017000000}"/>
    <hyperlink ref="E39" r:id="rId25" xr:uid="{00000000-0004-0000-0000-000018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D'Uva</dc:creator>
  <dc:description/>
  <cp:lastModifiedBy>Ruben D'Uva</cp:lastModifiedBy>
  <cp:revision>4</cp:revision>
  <dcterms:created xsi:type="dcterms:W3CDTF">2026-09-13T17:23:42Z</dcterms:created>
  <dcterms:modified xsi:type="dcterms:W3CDTF">2026-10-12T17:27:45Z</dcterms:modified>
  <dc:language>de-DE</dc:language>
</cp:coreProperties>
</file>