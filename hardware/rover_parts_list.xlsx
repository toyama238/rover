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<sst xmlns="http://schemas.openxmlformats.org/spreadsheetml/2006/main" count="86" uniqueCount="59">
  <si>
    <t xml:space="preserve">Produkt</t>
  </si>
  <si>
    <t xml:space="preserve">Kosten</t>
  </si>
  <si>
    <t xml:space="preserve">Anzahl</t>
  </si>
  <si>
    <t xml:space="preserve">Summe</t>
  </si>
  <si>
    <t xml:space="preserve">Bezugsquelle</t>
  </si>
  <si>
    <t xml:space="preserve">Insgesamt                            mn</t>
  </si>
  <si>
    <t xml:space="preserve">pro Rover</t>
  </si>
  <si>
    <t xml:space="preserve">Esp32C3</t>
  </si>
  <si>
    <t xml:space="preserve">Mouser</t>
  </si>
  <si>
    <t xml:space="preserve">TC1508A</t>
  </si>
  <si>
    <t xml:space="preserve">Christian</t>
  </si>
  <si>
    <t xml:space="preserve">Li-ion safe</t>
  </si>
  <si>
    <t xml:space="preserve">Platine</t>
  </si>
  <si>
    <t xml:space="preserve">motor</t>
  </si>
  <si>
    <t xml:space="preserve">TOF</t>
  </si>
  <si>
    <t xml:space="preserve">Optoreflexkoppler</t>
  </si>
  <si>
    <t xml:space="preserve">Medicometer</t>
  </si>
  <si>
    <t xml:space="preserve">Grüne LED</t>
  </si>
  <si>
    <t xml:space="preserve">RGB LED</t>
  </si>
  <si>
    <t xml:space="preserve">Weiße LED</t>
  </si>
  <si>
    <t xml:space="preserve">OLED Display</t>
  </si>
  <si>
    <t xml:space="preserve">TODO</t>
  </si>
  <si>
    <t xml:space="preserve">Akku</t>
  </si>
  <si>
    <t xml:space="preserve">vorhanden</t>
  </si>
  <si>
    <t xml:space="preserve">Pla</t>
  </si>
  <si>
    <t xml:space="preserve">Kabel</t>
  </si>
  <si>
    <t xml:space="preserve">Header</t>
  </si>
  <si>
    <t xml:space="preserve">verschiedene, siehe headers.xlsx</t>
  </si>
  <si>
    <t xml:space="preserve">Schalter</t>
  </si>
  <si>
    <t xml:space="preserve">Reichelt</t>
  </si>
  <si>
    <t xml:space="preserve">bissle unterdimensioniert</t>
  </si>
  <si>
    <t xml:space="preserve">USB-B Buchse</t>
  </si>
  <si>
    <t xml:space="preserve">Pollin</t>
  </si>
  <si>
    <t xml:space="preserve">USB-Kabel</t>
  </si>
  <si>
    <t xml:space="preserve">JST-Stecker XH 2pol für Akku auf Platine</t>
  </si>
  <si>
    <t xml:space="preserve">JST-Buchse XH 2pol für Akku</t>
  </si>
  <si>
    <t xml:space="preserve">JST-Stecker 4pol für Li-ion safe (Platine)</t>
  </si>
  <si>
    <t xml:space="preserve">optional, kann auch gelötet werden</t>
  </si>
  <si>
    <t xml:space="preserve">JST-Buchse 4pol für Li-ion safe (Modul)</t>
  </si>
  <si>
    <t xml:space="preserve">Kontakte XH</t>
  </si>
  <si>
    <t xml:space="preserve">sind erstmal vorhanden; gibt es auch bei Eckstein</t>
  </si>
  <si>
    <t xml:space="preserve">Diode 1N5817</t>
  </si>
  <si>
    <t xml:space="preserve">Powerbank</t>
  </si>
  <si>
    <t xml:space="preserve">https://www.pollin.de/p/logilink-powerbank-pa0316-10-000mah-schwarz-2-fach-usb-a-ausgang-273339</t>
  </si>
  <si>
    <t xml:space="preserve">Karton</t>
  </si>
  <si>
    <t xml:space="preserve">Widerstand 4,7k</t>
  </si>
  <si>
    <t xml:space="preserve">Widerstand 15k</t>
  </si>
  <si>
    <t xml:space="preserve">Widerstand 150</t>
  </si>
  <si>
    <t xml:space="preserve">Vorhanden (160Ohm)</t>
  </si>
  <si>
    <t xml:space="preserve">Widerstand 100</t>
  </si>
  <si>
    <t xml:space="preserve">Widerstand 1k</t>
  </si>
  <si>
    <t xml:space="preserve">Widerstand 330</t>
  </si>
  <si>
    <t xml:space="preserve">Kondensator 100nF</t>
  </si>
  <si>
    <t xml:space="preserve">Kondensator 1000µF</t>
  </si>
  <si>
    <t xml:space="preserve">Pfostenbuchse 2*5 Flachband </t>
  </si>
  <si>
    <t xml:space="preserve">Taster</t>
  </si>
  <si>
    <t xml:space="preserve">USB-Kabel ½ A gelötet</t>
  </si>
  <si>
    <t xml:space="preserve">ToF-Kabel</t>
  </si>
  <si>
    <t xml:space="preserve">Christian nur 1/3 des Preises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</si>
</sst>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ouser.de/de/ProductDetail/Seeed-Studio/102010633?qs=sqEgtWRSLJ2E8a0kDnxKyg%3D%3D" TargetMode="External"/><Relationship Id="rId2" Type="http://schemas.openxmlformats.org/officeDocument/2006/relationships/hyperlink" Target="https://www.christians-shop.de/L298N-dual-H-Bruecke-Treiber-fuer-2-DC-Motoren-mit-PWM-Geschwindigkeit-oder-einem-Schrittmotor" TargetMode="External"/><Relationship Id="rId3" Type="http://schemas.openxmlformats.org/officeDocument/2006/relationships/hyperlink" Target="https://www.christians-shop.de/1S-37V-3A-Li-Ion-BMS-PCM-Batterie-Schutz-Board-PCM-fuer-18650-Li-Ion-Batterie" TargetMode="External"/><Relationship Id="rId4" Type="http://schemas.openxmlformats.org/officeDocument/2006/relationships/hyperlink" Target="https://www.christians-shop.de/Intelligentes-Roboter-Rad-65mm-Rad-Rad-mit-DC-Getriebe-Motor-fuer-Roboter-Smart-Car-und-Arduino" TargetMode="External"/><Relationship Id="rId5" Type="http://schemas.openxmlformats.org/officeDocument/2006/relationships/hyperlink" Target="https://www.christians-shop.de/GY-530-VL53L0X-Time-of-Flight-ToF-Flugzeit-Entfernungsmesssensor" TargetMode="External"/><Relationship Id="rId6" Type="http://schemas.openxmlformats.org/officeDocument/2006/relationships/hyperlink" Target="https://www.ebay.de/itm/197034719340?itmmeta=01M2KN2B9K2YVVJHYWNACTKAA4&amp;hash=item2de02f386c:g:IlMAAOSwPQZgqBKs" TargetMode="External"/><Relationship Id="rId7" Type="http://schemas.openxmlformats.org/officeDocument/2006/relationships/hyperlink" Target="https://www.mouser.de/de/ProductDetail/LITEON/LTL2R3KGD-EM?qs=sGAEpiMZZMvVL5Kk7ZYykddVguNoKifSaeen5TVKuXk%3D" TargetMode="External"/><Relationship Id="rId8" Type="http://schemas.openxmlformats.org/officeDocument/2006/relationships/hyperlink" Target="https://www.mouser.de/de/ProductDetail/Adafruit/3094?qs=SV%252B0z0o3NTt%2F2YK7E3w5Rg%3D%3D" TargetMode="External"/><Relationship Id="rId9" Type="http://schemas.openxmlformats.org/officeDocument/2006/relationships/hyperlink" Target="https://www.mouser.de/de/ProductDetail/Inolux/INL-5AW30?qs=qSfuJ%252Bfl%2Fd4MUXtc27VAsw%3D%3D" TargetMode="External"/><Relationship Id="rId10" Type="http://schemas.openxmlformats.org/officeDocument/2006/relationships/hyperlink" Target="https://www.reichelt.de/de/de/shop/produkt/schiebeschalter-miniatur_loetanschluss_2x_um_sw-19976" TargetMode="External"/><Relationship Id="rId11" Type="http://schemas.openxmlformats.org/officeDocument/2006/relationships/hyperlink" Target="https://www.pollin.de/p/usb-b-einbaubuchse-900-450547" TargetMode="External"/><Relationship Id="rId12" Type="http://schemas.openxmlformats.org/officeDocument/2006/relationships/hyperlink" Target="https://www.pollin.de/p/s-impuls-usb2-0-anschlusskabel-a-b-0-25-m-713198" TargetMode="External"/><Relationship Id="rId13" Type="http://schemas.openxmlformats.org/officeDocument/2006/relationships/hyperlink" Target="https://www.reichelt.de/de/de/shop/produkt/jst_-_stiftleiste_gerade_1x2-polig_-_xh-185073" TargetMode="External"/><Relationship Id="rId14" Type="http://schemas.openxmlformats.org/officeDocument/2006/relationships/hyperlink" Target="https://www.reichelt.de/de/de/shop/produkt/jst_-_buchsengehaeuse_1x2-polig_-_xh-185085" TargetMode="External"/><Relationship Id="rId15" Type="http://schemas.openxmlformats.org/officeDocument/2006/relationships/hyperlink" Target="https://www.reichelt.de/de/de/shop/produkt/jst_-_stiftleiste_gerade_1x4-polig_-_xh-185075" TargetMode="External"/><Relationship Id="rId16" Type="http://schemas.openxmlformats.org/officeDocument/2006/relationships/hyperlink" Target="https://www.reichelt.de/de/de/shop/produkt/jst_-_buchsengehaeuse_1x4-polig_-_xh-185087" TargetMode="External"/><Relationship Id="rId17" Type="http://schemas.openxmlformats.org/officeDocument/2006/relationships/hyperlink" Target="https://www.reichelt.de/de/de/shop/produkt/jst_-_crimpkontakt_buchse_-_xh-185091" TargetMode="External"/><Relationship Id="rId18" Type="http://schemas.openxmlformats.org/officeDocument/2006/relationships/hyperlink" Target="https://www.pollin.de/p/dioden-1n5817-1-a-20-v-10-stueck-140542" TargetMode="External"/><Relationship Id="rId19" Type="http://schemas.openxmlformats.org/officeDocument/2006/relationships/hyperlink" Target="https://www.reichelt.de/de/de/shop/produkt/widerstand_kohleschicht_4_7_kohm_0207_250_mw_5_-1425" TargetMode="External"/><Relationship Id="rId20" Type="http://schemas.openxmlformats.org/officeDocument/2006/relationships/hyperlink" Target="https://www.reichelt.de/de/de/shop/produkt/widerstand_kohleschicht_100_ohm_0207_250_mw_5_-1336" TargetMode="External"/><Relationship Id="rId21" Type="http://schemas.openxmlformats.org/officeDocument/2006/relationships/hyperlink" Target="https://www.mouser.de/de/ProductDetail/Vishay-BC-Components/K104K15X7RF53K2?qs=csx2tJjGIuO338O2QcUpaQ%3D%3D" TargetMode="External"/><Relationship Id="rId22" Type="http://schemas.openxmlformats.org/officeDocument/2006/relationships/hyperlink" Target="https://www.pollin.de/p/econ-connect-pfostenbuchse-fuer-flachbandleitung-rm-2-54-10-polig-451178" TargetMode="External"/><Relationship Id="rId23" Type="http://schemas.openxmlformats.org/officeDocument/2006/relationships/hyperlink" Target="https://www.mouser.de/de/ProductDetail/Same-Sky/TS02-66-95-BK-160-LCR-D?qs=A6eO%252BMLsxmTlIRxhk6UZeg%3D%3D" TargetMode="External"/><Relationship Id="rId24" Type="http://schemas.openxmlformats.org/officeDocument/2006/relationships/hyperlink" Target="https://www.pollin.de/p/s-impuls-usb2-0-anschlusskabel-a-b-0-25-m-713198" TargetMode="External"/><Relationship Id="rId25" Type="http://schemas.openxmlformats.org/officeDocument/2006/relationships/hyperlink" Target="https://www.pollin.de/p/steckboard-verbindungsleitungen-stecker-kupplung-40-polig-51115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0" activeCellId="0" sqref="F40"/>
    </sheetView>
  </sheetViews>
  <sheetFormatPr defaultColWidth="8.63671875" defaultRowHeight="14.25" zeroHeight="false" outlineLevelRow="0" outlineLevelCol="0"/>
  <cols>
    <col collapsed="false" customWidth="true" hidden="false" outlineLevel="0" max="1" min="1" style="0" width="37"/>
    <col collapsed="false" customWidth="true" hidden="false" outlineLevel="0" max="5" min="5" style="0" width="19.8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H1" s="0" t="s">
        <v>5</v>
      </c>
      <c r="J1" s="0" t="s">
        <v>6</v>
      </c>
    </row>
    <row r="2" customFormat="false" ht="14.25" hidden="false" customHeight="false" outlineLevel="0" collapsed="false">
      <c r="A2" s="0" t="s">
        <v>7</v>
      </c>
      <c r="B2" s="0" t="n">
        <f aca="false">5.07*1.19</f>
        <v>6.0333</v>
      </c>
      <c r="C2" s="0" t="n">
        <v>1</v>
      </c>
      <c r="D2" s="0" t="n">
        <f aca="false">B2*C2</f>
        <v>6.0333</v>
      </c>
      <c r="E2" s="0" t="s">
        <v>8</v>
      </c>
      <c r="H2" s="0" t="n">
        <f aca="false">SUM(D2:D102)</f>
        <v>27.2239</v>
      </c>
    </row>
    <row r="3" customFormat="false" ht="14.25" hidden="false" customHeight="false" outlineLevel="0" collapsed="false">
      <c r="A3" s="0" t="s">
        <v>9</v>
      </c>
      <c r="B3" s="0" t="n">
        <v>0.44</v>
      </c>
      <c r="C3" s="0" t="n">
        <v>1</v>
      </c>
      <c r="D3" s="0" t="n">
        <f aca="false">B3*C3</f>
        <v>0.44</v>
      </c>
      <c r="E3" s="0" t="s">
        <v>10</v>
      </c>
    </row>
    <row r="4" customFormat="false" ht="14.25" hidden="false" customHeight="false" outlineLevel="0" collapsed="false">
      <c r="A4" s="0" t="s">
        <v>11</v>
      </c>
      <c r="B4" s="0" t="n">
        <v>0.69</v>
      </c>
      <c r="D4" s="0" t="n">
        <f aca="false">B4*C4</f>
        <v>0</v>
      </c>
      <c r="E4" s="0" t="s">
        <v>10</v>
      </c>
    </row>
    <row r="5" customFormat="false" ht="14.25" hidden="false" customHeight="false" outlineLevel="0" collapsed="false">
      <c r="A5" s="0" t="s">
        <v>12</v>
      </c>
      <c r="B5" s="0" t="n">
        <v>1.1</v>
      </c>
      <c r="C5" s="0" t="n">
        <v>1</v>
      </c>
      <c r="D5" s="0" t="n">
        <f aca="false">B5*C5</f>
        <v>1.1</v>
      </c>
    </row>
    <row r="6" customFormat="false" ht="14.25" hidden="false" customHeight="false" outlineLevel="0" collapsed="false">
      <c r="A6" s="0" t="s">
        <v>13</v>
      </c>
      <c r="B6" s="0" t="n">
        <v>1.92</v>
      </c>
      <c r="C6" s="0" t="n">
        <v>2</v>
      </c>
      <c r="D6" s="0" t="n">
        <f aca="false">B6*C6</f>
        <v>3.84</v>
      </c>
      <c r="E6" s="0" t="s">
        <v>10</v>
      </c>
    </row>
    <row r="7" customFormat="false" ht="14.25" hidden="false" customHeight="false" outlineLevel="0" collapsed="false">
      <c r="A7" s="0" t="s">
        <v>14</v>
      </c>
      <c r="B7" s="0" t="n">
        <v>2.06</v>
      </c>
      <c r="C7" s="0" t="n">
        <v>1</v>
      </c>
      <c r="D7" s="0" t="n">
        <f aca="false">B7*C7</f>
        <v>2.06</v>
      </c>
      <c r="E7" s="0" t="s">
        <v>10</v>
      </c>
    </row>
    <row r="8" customFormat="false" ht="14.25" hidden="false" customHeight="false" outlineLevel="0" collapsed="false">
      <c r="A8" s="0" t="s">
        <v>15</v>
      </c>
      <c r="B8" s="0" t="n">
        <v>0.5</v>
      </c>
      <c r="C8" s="0" t="n">
        <v>1</v>
      </c>
      <c r="D8" s="0" t="n">
        <f aca="false">B8*C8</f>
        <v>0.5</v>
      </c>
      <c r="E8" s="0" t="s">
        <v>16</v>
      </c>
    </row>
    <row r="9" customFormat="false" ht="14.25" hidden="false" customHeight="false" outlineLevel="0" collapsed="false">
      <c r="A9" s="0" t="s">
        <v>17</v>
      </c>
      <c r="B9" s="0" t="n">
        <v>0.094</v>
      </c>
      <c r="C9" s="0" t="n">
        <v>1</v>
      </c>
      <c r="D9" s="0" t="n">
        <f aca="false">B9*C9</f>
        <v>0.094</v>
      </c>
      <c r="E9" s="0" t="s">
        <v>8</v>
      </c>
    </row>
    <row r="10" customFormat="false" ht="14.25" hidden="false" customHeight="false" outlineLevel="0" collapsed="false">
      <c r="A10" s="0" t="s">
        <v>18</v>
      </c>
      <c r="B10" s="0" t="n">
        <v>0.2576</v>
      </c>
      <c r="C10" s="0" t="n">
        <v>1</v>
      </c>
      <c r="D10" s="0" t="n">
        <f aca="false">B10*C10</f>
        <v>0.2576</v>
      </c>
      <c r="E10" s="0" t="s">
        <v>8</v>
      </c>
    </row>
    <row r="11" customFormat="false" ht="14.25" hidden="false" customHeight="false" outlineLevel="0" collapsed="false">
      <c r="A11" s="0" t="s">
        <v>19</v>
      </c>
      <c r="B11" s="0" t="n">
        <v>0.114</v>
      </c>
      <c r="C11" s="0" t="n">
        <v>2</v>
      </c>
      <c r="D11" s="0" t="n">
        <f aca="false">B11*C11</f>
        <v>0.228</v>
      </c>
      <c r="E11" s="0" t="s">
        <v>8</v>
      </c>
    </row>
    <row r="12" customFormat="false" ht="14.25" hidden="false" customHeight="false" outlineLevel="0" collapsed="false">
      <c r="A12" s="0" t="s">
        <v>20</v>
      </c>
      <c r="B12" s="0" t="n">
        <v>2.31</v>
      </c>
      <c r="D12" s="0" t="n">
        <f aca="false">B12*C12</f>
        <v>0</v>
      </c>
      <c r="F12" s="0" t="s">
        <v>21</v>
      </c>
    </row>
    <row r="13" customFormat="false" ht="14.25" hidden="false" customHeight="false" outlineLevel="0" collapsed="false">
      <c r="A13" s="0" t="s">
        <v>22</v>
      </c>
      <c r="B13" s="0" t="n">
        <v>0.5</v>
      </c>
      <c r="D13" s="0" t="n">
        <f aca="false">B13*C13</f>
        <v>0</v>
      </c>
      <c r="E13" s="0" t="s">
        <v>23</v>
      </c>
    </row>
    <row r="14" customFormat="false" ht="14.25" hidden="false" customHeight="false" outlineLevel="0" collapsed="false">
      <c r="A14" s="0" t="s">
        <v>24</v>
      </c>
      <c r="B14" s="0" t="n">
        <v>1</v>
      </c>
      <c r="C14" s="0" t="n">
        <v>1</v>
      </c>
      <c r="D14" s="0" t="n">
        <f aca="false">B14*C14</f>
        <v>1</v>
      </c>
      <c r="E14" s="0" t="s">
        <v>23</v>
      </c>
    </row>
    <row r="15" customFormat="false" ht="14.25" hidden="false" customHeight="false" outlineLevel="0" collapsed="false">
      <c r="A15" s="0" t="s">
        <v>25</v>
      </c>
      <c r="B15" s="0" t="n">
        <v>1</v>
      </c>
      <c r="C15" s="0" t="n">
        <v>1</v>
      </c>
      <c r="D15" s="0" t="n">
        <f aca="false">B15*C15</f>
        <v>1</v>
      </c>
      <c r="E15" s="0" t="s">
        <v>23</v>
      </c>
    </row>
    <row r="16" customFormat="false" ht="14.25" hidden="false" customHeight="false" outlineLevel="0" collapsed="false">
      <c r="A16" s="0" t="s">
        <v>26</v>
      </c>
      <c r="B16" s="0" t="n">
        <v>2.16</v>
      </c>
      <c r="C16" s="0" t="n">
        <v>1</v>
      </c>
      <c r="D16" s="0" t="n">
        <f aca="false">B16*C16</f>
        <v>2.16</v>
      </c>
      <c r="E16" s="0" t="s">
        <v>27</v>
      </c>
    </row>
    <row r="17" customFormat="false" ht="14.25" hidden="false" customHeight="false" outlineLevel="0" collapsed="false">
      <c r="A17" s="0" t="s">
        <v>28</v>
      </c>
      <c r="B17" s="0" t="n">
        <v>0.48</v>
      </c>
      <c r="C17" s="0" t="n">
        <v>1</v>
      </c>
      <c r="D17" s="0" t="n">
        <f aca="false">B17*C17</f>
        <v>0.48</v>
      </c>
      <c r="E17" s="0" t="s">
        <v>29</v>
      </c>
      <c r="F17" s="0" t="s">
        <v>30</v>
      </c>
    </row>
    <row r="18" customFormat="false" ht="14.25" hidden="false" customHeight="false" outlineLevel="0" collapsed="false">
      <c r="A18" s="0" t="s">
        <v>31</v>
      </c>
      <c r="B18" s="0" t="n">
        <v>0.4</v>
      </c>
      <c r="D18" s="0" t="n">
        <f aca="false">B18*C18</f>
        <v>0</v>
      </c>
      <c r="E18" s="0" t="s">
        <v>32</v>
      </c>
    </row>
    <row r="19" customFormat="false" ht="14.25" hidden="false" customHeight="false" outlineLevel="0" collapsed="false">
      <c r="A19" s="0" t="s">
        <v>33</v>
      </c>
      <c r="B19" s="0" t="n">
        <v>0.65</v>
      </c>
      <c r="D19" s="0" t="n">
        <f aca="false">B19*C19</f>
        <v>0</v>
      </c>
      <c r="E19" s="0" t="s">
        <v>32</v>
      </c>
    </row>
    <row r="20" customFormat="false" ht="14.25" hidden="false" customHeight="false" outlineLevel="0" collapsed="false">
      <c r="A20" s="0" t="s">
        <v>34</v>
      </c>
      <c r="B20" s="0" t="n">
        <v>0.17</v>
      </c>
      <c r="D20" s="0" t="n">
        <f aca="false">B20*C20</f>
        <v>0</v>
      </c>
      <c r="E20" s="0" t="s">
        <v>29</v>
      </c>
    </row>
    <row r="21" customFormat="false" ht="14.25" hidden="false" customHeight="false" outlineLevel="0" collapsed="false">
      <c r="A21" s="0" t="s">
        <v>35</v>
      </c>
      <c r="B21" s="0" t="n">
        <v>0.05</v>
      </c>
      <c r="D21" s="0" t="n">
        <f aca="false">B21*C21</f>
        <v>0</v>
      </c>
      <c r="E21" s="0" t="s">
        <v>29</v>
      </c>
    </row>
    <row r="22" customFormat="false" ht="14.25" hidden="false" customHeight="false" outlineLevel="0" collapsed="false">
      <c r="A22" s="0" t="s">
        <v>36</v>
      </c>
      <c r="B22" s="0" t="n">
        <v>0.2</v>
      </c>
      <c r="D22" s="0" t="n">
        <f aca="false">B22*C22</f>
        <v>0</v>
      </c>
      <c r="E22" s="0" t="s">
        <v>29</v>
      </c>
      <c r="F22" s="0" t="s">
        <v>37</v>
      </c>
    </row>
    <row r="23" customFormat="false" ht="14.25" hidden="false" customHeight="false" outlineLevel="0" collapsed="false">
      <c r="A23" s="0" t="s">
        <v>38</v>
      </c>
      <c r="B23" s="0" t="n">
        <v>0.07</v>
      </c>
      <c r="D23" s="0" t="n">
        <f aca="false">B23*C23</f>
        <v>0</v>
      </c>
      <c r="E23" s="0" t="s">
        <v>29</v>
      </c>
      <c r="F23" s="0" t="s">
        <v>37</v>
      </c>
    </row>
    <row r="24" customFormat="false" ht="14.25" hidden="false" customHeight="false" outlineLevel="0" collapsed="false">
      <c r="A24" s="0" t="s">
        <v>39</v>
      </c>
      <c r="B24" s="0" t="n">
        <v>0.08</v>
      </c>
      <c r="C24" s="0" t="n">
        <f aca="false">4*C22+2*C20</f>
        <v>0</v>
      </c>
      <c r="D24" s="0" t="n">
        <f aca="false">B24*C24</f>
        <v>0</v>
      </c>
      <c r="E24" s="0" t="s">
        <v>29</v>
      </c>
      <c r="F24" s="0" t="s">
        <v>40</v>
      </c>
    </row>
    <row r="25" customFormat="false" ht="14.25" hidden="false" customHeight="false" outlineLevel="0" collapsed="false">
      <c r="A25" s="0" t="s">
        <v>41</v>
      </c>
      <c r="B25" s="0" t="n">
        <v>0.03</v>
      </c>
      <c r="C25" s="0" t="n">
        <v>1</v>
      </c>
      <c r="D25" s="0" t="n">
        <f aca="false">B25*C25</f>
        <v>0.03</v>
      </c>
      <c r="E25" s="0" t="s">
        <v>32</v>
      </c>
    </row>
    <row r="26" customFormat="false" ht="14.25" hidden="false" customHeight="false" outlineLevel="0" collapsed="false">
      <c r="A26" s="0" t="s">
        <v>42</v>
      </c>
      <c r="B26" s="0" t="n">
        <v>5.95</v>
      </c>
      <c r="C26" s="0" t="n">
        <v>1</v>
      </c>
      <c r="D26" s="0" t="n">
        <f aca="false">B26*C26</f>
        <v>5.95</v>
      </c>
      <c r="E26" s="0" t="s">
        <v>43</v>
      </c>
    </row>
    <row r="27" customFormat="false" ht="13.8" hidden="false" customHeight="false" outlineLevel="0" collapsed="false">
      <c r="A27" s="0" t="s">
        <v>44</v>
      </c>
      <c r="B27" s="0" t="n">
        <v>0.51</v>
      </c>
      <c r="C27" s="0" t="n">
        <v>1</v>
      </c>
      <c r="D27" s="0" t="n">
        <f aca="false">B27*C27</f>
        <v>0.51</v>
      </c>
    </row>
    <row r="28" customFormat="false" ht="14.9" hidden="false" customHeight="false" outlineLevel="0" collapsed="false">
      <c r="A28" s="0" t="s">
        <v>45</v>
      </c>
      <c r="B28" s="0" t="n">
        <v>0.006</v>
      </c>
      <c r="C28" s="0" t="n">
        <v>2</v>
      </c>
      <c r="D28" s="0" t="n">
        <f aca="false">B28*C28</f>
        <v>0.012</v>
      </c>
      <c r="E28" s="0" t="s">
        <v>29</v>
      </c>
    </row>
    <row r="29" customFormat="false" ht="13.8" hidden="false" customHeight="false" outlineLevel="0" collapsed="false">
      <c r="A29" s="0" t="s">
        <v>46</v>
      </c>
      <c r="B29" s="0" t="n">
        <v>0.006</v>
      </c>
      <c r="C29" s="0" t="n">
        <v>2</v>
      </c>
      <c r="D29" s="0" t="n">
        <f aca="false">B29*C29</f>
        <v>0.012</v>
      </c>
      <c r="E29" s="0" t="s">
        <v>23</v>
      </c>
    </row>
    <row r="30" customFormat="false" ht="13.8" hidden="false" customHeight="false" outlineLevel="0" collapsed="false">
      <c r="A30" s="0" t="s">
        <v>47</v>
      </c>
      <c r="B30" s="0" t="n">
        <v>0.006</v>
      </c>
      <c r="C30" s="0" t="n">
        <v>2</v>
      </c>
      <c r="D30" s="0" t="n">
        <f aca="false">B30*C30</f>
        <v>0.012</v>
      </c>
      <c r="E30" s="0" t="s">
        <v>48</v>
      </c>
    </row>
    <row r="31" customFormat="false" ht="14.9" hidden="false" customHeight="false" outlineLevel="0" collapsed="false">
      <c r="A31" s="0" t="s">
        <v>49</v>
      </c>
      <c r="B31" s="0" t="n">
        <v>0.005</v>
      </c>
      <c r="C31" s="0" t="n">
        <v>2</v>
      </c>
      <c r="D31" s="0" t="n">
        <f aca="false">B31*C31</f>
        <v>0.01</v>
      </c>
      <c r="E31" s="0" t="s">
        <v>29</v>
      </c>
    </row>
    <row r="32" customFormat="false" ht="13.8" hidden="false" customHeight="false" outlineLevel="0" collapsed="false">
      <c r="A32" s="0" t="s">
        <v>50</v>
      </c>
      <c r="B32" s="0" t="n">
        <v>0.006</v>
      </c>
      <c r="C32" s="0" t="n">
        <v>2</v>
      </c>
      <c r="D32" s="0" t="n">
        <f aca="false">B32*C32</f>
        <v>0.012</v>
      </c>
      <c r="E32" s="0" t="s">
        <v>23</v>
      </c>
    </row>
    <row r="33" customFormat="false" ht="13.8" hidden="false" customHeight="false" outlineLevel="0" collapsed="false">
      <c r="A33" s="0" t="s">
        <v>51</v>
      </c>
      <c r="B33" s="0" t="n">
        <v>0.006</v>
      </c>
      <c r="C33" s="0" t="n">
        <v>2</v>
      </c>
      <c r="D33" s="0" t="n">
        <f aca="false">B33*C33</f>
        <v>0.012</v>
      </c>
      <c r="E33" s="0" t="s">
        <v>23</v>
      </c>
    </row>
    <row r="34" customFormat="false" ht="14.9" hidden="false" customHeight="false" outlineLevel="0" collapsed="false">
      <c r="A34" s="0" t="s">
        <v>52</v>
      </c>
      <c r="B34" s="0" t="n">
        <v>0.065</v>
      </c>
      <c r="C34" s="0" t="n">
        <v>7</v>
      </c>
      <c r="D34" s="0" t="n">
        <f aca="false">B34*C34</f>
        <v>0.455</v>
      </c>
      <c r="E34" s="0" t="s">
        <v>8</v>
      </c>
    </row>
    <row r="35" customFormat="false" ht="14.9" hidden="false" customHeight="false" outlineLevel="0" collapsed="false">
      <c r="A35" s="0" t="s">
        <v>53</v>
      </c>
      <c r="B35" s="0" t="n">
        <v>0.5</v>
      </c>
      <c r="D35" s="0" t="n">
        <f aca="false">B35*C35</f>
        <v>0</v>
      </c>
      <c r="E35" s="0" t="s">
        <v>23</v>
      </c>
    </row>
    <row r="36" customFormat="false" ht="14.9" hidden="false" customHeight="false" outlineLevel="0" collapsed="false">
      <c r="A36" s="0" t="s">
        <v>54</v>
      </c>
      <c r="B36" s="0" t="n">
        <v>0.12</v>
      </c>
      <c r="C36" s="0" t="n">
        <v>2</v>
      </c>
      <c r="D36" s="0" t="n">
        <f aca="false">B36*C36</f>
        <v>0.24</v>
      </c>
      <c r="E36" s="0" t="s">
        <v>32</v>
      </c>
    </row>
    <row r="37" customFormat="false" ht="14.9" hidden="false" customHeight="false" outlineLevel="0" collapsed="false">
      <c r="A37" s="0" t="s">
        <v>55</v>
      </c>
      <c r="B37" s="0" t="n">
        <v>0.081</v>
      </c>
      <c r="C37" s="0" t="n">
        <v>1</v>
      </c>
      <c r="D37" s="0" t="n">
        <f aca="false">B37*C37</f>
        <v>0.081</v>
      </c>
      <c r="E37" s="0" t="s">
        <v>8</v>
      </c>
    </row>
    <row r="38" customFormat="false" ht="14.9" hidden="false" customHeight="false" outlineLevel="0" collapsed="false">
      <c r="A38" s="0" t="s">
        <v>56</v>
      </c>
      <c r="B38" s="0" t="n">
        <f aca="false">0.64/2</f>
        <v>0.32</v>
      </c>
      <c r="C38" s="0" t="n">
        <v>1</v>
      </c>
      <c r="D38" s="0" t="n">
        <f aca="false">B38*C38</f>
        <v>0.32</v>
      </c>
      <c r="E38" s="0" t="s">
        <v>32</v>
      </c>
    </row>
    <row r="39" customFormat="false" ht="14.25" hidden="false" customHeight="false" outlineLevel="0" collapsed="false">
      <c r="A39" s="0" t="s">
        <v>57</v>
      </c>
      <c r="B39" s="0" t="n">
        <f aca="false">3.75/10</f>
        <v>0.375</v>
      </c>
      <c r="C39" s="0" t="n">
        <v>1</v>
      </c>
      <c r="D39" s="0" t="n">
        <f aca="false">B39*C39</f>
        <v>0.375</v>
      </c>
      <c r="E39" s="0" t="s">
        <v>32</v>
      </c>
      <c r="F39" s="0" t="s">
        <v>58</v>
      </c>
    </row>
    <row r="1048576" customFormat="false" ht="12.8" hidden="false" customHeight="false" outlineLevel="0" collapsed="false"/>
  </sheetData>
  <hyperlinks>
    <hyperlink ref="E2" r:id="rId1" display="Mouser"/>
    <hyperlink ref="E3" r:id="rId2" display="Christian"/>
    <hyperlink ref="E4" r:id="rId3" display="Christian"/>
    <hyperlink ref="E6" r:id="rId4" display="Christian"/>
    <hyperlink ref="E7" r:id="rId5" display="Christian"/>
    <hyperlink ref="E8" r:id="rId6" display="Medicometer"/>
    <hyperlink ref="E9" r:id="rId7" display="Mouser"/>
    <hyperlink ref="E10" r:id="rId8" display="Mouser"/>
    <hyperlink ref="E11" r:id="rId9" display="Mouser"/>
    <hyperlink ref="E17" r:id="rId10" display="Reichelt"/>
    <hyperlink ref="E18" r:id="rId11" display="Pollin"/>
    <hyperlink ref="E19" r:id="rId12" display="Pollin"/>
    <hyperlink ref="E20" r:id="rId13" display="Reichelt"/>
    <hyperlink ref="E21" r:id="rId14" display="Reichelt"/>
    <hyperlink ref="E22" r:id="rId15" display="Reichelt"/>
    <hyperlink ref="E23" r:id="rId16" display="Reichelt"/>
    <hyperlink ref="E24" r:id="rId17" display="Reichelt"/>
    <hyperlink ref="E25" r:id="rId18" display="Pollin"/>
    <hyperlink ref="E28" r:id="rId19" display="Reichelt"/>
    <hyperlink ref="E31" r:id="rId20" display="Reichelt"/>
    <hyperlink ref="E34" r:id="rId21" display="Mouser"/>
    <hyperlink ref="E36" r:id="rId22" display="Pollin"/>
    <hyperlink ref="E37" r:id="rId23" display="Mouser"/>
    <hyperlink ref="E38" r:id="rId24" display="Pollin"/>
    <hyperlink ref="E39" r:id="rId25" display="Polli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2026-09-13T17:23:42Z</dcterms:created>
  <dc:creator>Ruben D'Uva</dc:creator>
  <dc:description/>
  <dc:language>de-DE</dc:language>
  <cp:lastModifiedBy/>
  <dcterms:modified xsi:type="dcterms:W3CDTF">2026-10-06T23:11:44Z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