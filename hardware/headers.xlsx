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<sst xmlns="http://schemas.openxmlformats.org/spreadsheetml/2006/main" count="66" uniqueCount="39">
  <si>
    <t xml:space="preserve">Anzahl Roboter</t>
  </si>
  <si>
    <t xml:space="preserve">Pollin</t>
  </si>
  <si>
    <t xml:space="preserve">Reichelt</t>
  </si>
  <si>
    <t xml:space="preserve">Christian</t>
  </si>
  <si>
    <t xml:space="preserve">Eckstein</t>
  </si>
  <si>
    <t xml:space="preserve">Bauteil</t>
  </si>
  <si>
    <t xml:space="preserve">Anz</t>
  </si>
  <si>
    <t xml:space="preserve">ges</t>
  </si>
  <si>
    <t xml:space="preserve">EP</t>
  </si>
  <si>
    <t xml:space="preserve">Artikelnr</t>
  </si>
  <si>
    <t xml:space="preserve">Buchsenleiste für Motoren und ToF (ohne 5V), 1x4</t>
  </si>
  <si>
    <t xml:space="preserve">451492</t>
  </si>
  <si>
    <t xml:space="preserve">BKL 10120946</t>
  </si>
  <si>
    <t xml:space="preserve">unklar</t>
  </si>
  <si>
    <t xml:space="preserve">-</t>
  </si>
  <si>
    <t xml:space="preserve">Buchsenleiste für Motortreiber, 1x2</t>
  </si>
  <si>
    <t xml:space="preserve">451552</t>
  </si>
  <si>
    <t xml:space="preserve">BKL 10120944</t>
  </si>
  <si>
    <t xml:space="preserve">Buchsenleiste für XIAO, 1x7</t>
  </si>
  <si>
    <t xml:space="preserve">451498 (*)</t>
  </si>
  <si>
    <t xml:space="preserve">teuer</t>
  </si>
  <si>
    <t xml:space="preserve">214 (*)</t>
  </si>
  <si>
    <t xml:space="preserve">ZB03013</t>
  </si>
  <si>
    <t xml:space="preserve">Crimpgehäuse 1x2</t>
  </si>
  <si>
    <t xml:space="preserve">100407 incl. Kontakte</t>
  </si>
  <si>
    <t xml:space="preserve">ZB00003-002</t>
  </si>
  <si>
    <t xml:space="preserve">Crimp-Pins, männlich</t>
  </si>
  <si>
    <t xml:space="preserve">incl</t>
  </si>
  <si>
    <t xml:space="preserve">PO1931</t>
  </si>
  <si>
    <t xml:space="preserve">Crimp-Pins, weiblich</t>
  </si>
  <si>
    <t xml:space="preserve">PO1930</t>
  </si>
  <si>
    <t xml:space="preserve">Stiftleiste für Opto-Sensor, 2x10</t>
  </si>
  <si>
    <t xml:space="preserve">452918</t>
  </si>
  <si>
    <t xml:space="preserve">egal</t>
  </si>
  <si>
    <t xml:space="preserve">vorhanden!</t>
  </si>
  <si>
    <t xml:space="preserve">Stiftleiste für LEDs und Treiber, 1x2</t>
  </si>
  <si>
    <t xml:space="preserve">451550</t>
  </si>
  <si>
    <t xml:space="preserve">(*): unpassend, muss aufwändig getrennt werden</t>
  </si>
  <si>
    <t xml:space="preserve">Summe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</si>
</sst>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ollin.de/p/connfly-electronic-buchsenleiste-vergoldet-1x-4-polig-451492" TargetMode="External"/><Relationship Id="rId2" Type="http://schemas.openxmlformats.org/officeDocument/2006/relationships/hyperlink" Target="https://www.reichelt.de/de/de/shop/produkt/buchsenleiste_2_54mm_1x4_gerade-266671" TargetMode="External"/><Relationship Id="rId3" Type="http://schemas.openxmlformats.org/officeDocument/2006/relationships/hyperlink" Target="https://www.pollin.de/p/econ-connect-buchsenleiste-vergoldet-1x-2-polig-451552" TargetMode="External"/><Relationship Id="rId4" Type="http://schemas.openxmlformats.org/officeDocument/2006/relationships/hyperlink" Target="https://www.reichelt.de/de/de/shop/produkt/buchsenleiste_2_54mm_1x2_gerade-266669" TargetMode="External"/><Relationship Id="rId5" Type="http://schemas.openxmlformats.org/officeDocument/2006/relationships/hyperlink" Target="https://www.pollin.de/p/connfly-electronic-buchsenleiste-vergoldet-1x-20-polig-451498" TargetMode="External"/><Relationship Id="rId6" Type="http://schemas.openxmlformats.org/officeDocument/2006/relationships/hyperlink" Target="https://www.christians-shop.de/40-Pin-Stiftleiste-Pinleiste-254mm-weiblich-einfach" TargetMode="External"/><Relationship Id="rId7" Type="http://schemas.openxmlformats.org/officeDocument/2006/relationships/hyperlink" Target="https://eckstein-shop.de/Buchsenleiste-1x7Pin-Gerade-Standard-EN" TargetMode="External"/><Relationship Id="rId8" Type="http://schemas.openxmlformats.org/officeDocument/2006/relationships/hyperlink" Target="https://www.christians-shop.de/620-teiliges-Set-DuPont-Steckverbindungen-Stecker-Buchsen-Jumper-1x1-bis-2x6-Pin-inkl-weiblicher-und-maennlicher-Quetschverbinder-Christians-Technikshop" TargetMode="External"/><Relationship Id="rId9" Type="http://schemas.openxmlformats.org/officeDocument/2006/relationships/hyperlink" Target="https://eckstein-shop.de/22C54mmDupontJumperCrimpConnectorHousingStecker1x2Pin25PackEN" TargetMode="External"/><Relationship Id="rId10" Type="http://schemas.openxmlformats.org/officeDocument/2006/relationships/hyperlink" Target="https://eckstein-shop.de/MaleCrimpPinsfor0122Housings100-PackEN" TargetMode="External"/><Relationship Id="rId11" Type="http://schemas.openxmlformats.org/officeDocument/2006/relationships/hyperlink" Target="https://eckstein-shop.de/FemaleCrimpPinsfor0122Housings100-PackEN" TargetMode="External"/><Relationship Id="rId12" Type="http://schemas.openxmlformats.org/officeDocument/2006/relationships/hyperlink" Target="https://www.pollin.de/p/stiftleiste-2-x-32-2-54-mm-gerade-0-8-au-gold-5-stueck-452918" TargetMode="External"/><Relationship Id="rId13" Type="http://schemas.openxmlformats.org/officeDocument/2006/relationships/hyperlink" Target="https://www.pollin.de/p/stiftleiste-vergoldet-1x-20-polig-10-stueck-45155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T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2.93"/>
    <col collapsed="false" customWidth="true" hidden="false" outlineLevel="0" max="2" min="2" style="0" width="4.58"/>
    <col collapsed="false" customWidth="true" hidden="false" outlineLevel="0" max="3" min="3" style="0" width="5.14"/>
    <col collapsed="false" customWidth="true" hidden="false" outlineLevel="0" max="4" min="4" style="0" width="6.54"/>
    <col collapsed="false" customWidth="true" hidden="false" outlineLevel="0" max="5" min="5" style="0" width="5.55"/>
    <col collapsed="false" customWidth="true" hidden="false" outlineLevel="0" max="6" min="6" style="0" width="9.32"/>
    <col collapsed="false" customWidth="true" hidden="false" outlineLevel="0" max="7" min="7" style="0" width="4.71"/>
    <col collapsed="false" customWidth="true" hidden="false" outlineLevel="0" max="8" min="8" style="0" width="5.55"/>
    <col collapsed="false" customWidth="true" hidden="false" outlineLevel="0" max="9" min="9" style="0" width="6.54"/>
    <col collapsed="false" customWidth="true" hidden="false" outlineLevel="0" max="10" min="10" style="0" width="14.16"/>
    <col collapsed="false" customWidth="true" hidden="false" outlineLevel="0" max="11" min="11" style="0" width="5.96"/>
    <col collapsed="false" customWidth="true" hidden="false" outlineLevel="0" max="12" min="12" style="0" width="5.96"/>
    <col collapsed="false" customWidth="true" hidden="false" outlineLevel="0" max="13" min="13" style="0" width="6.67"/>
    <col collapsed="false" customWidth="true" hidden="false" outlineLevel="0" max="15" min="15" style="0" width="5.14"/>
    <col collapsed="false" customWidth="true" hidden="false" outlineLevel="0" max="16" min="16" style="0" width="5.7"/>
    <col collapsed="false" customWidth="true" hidden="false" outlineLevel="0" max="17" min="17" style="0" width="5.14"/>
    <col collapsed="false" customWidth="true" hidden="false" outlineLevel="0" max="19" min="19" style="0" width="4.86"/>
  </cols>
  <sheetData>
    <row r="2" customFormat="false" ht="12.8" hidden="false" customHeight="false" outlineLevel="0" collapsed="false">
      <c r="A2" s="0" t="s">
        <v>0</v>
      </c>
      <c r="B2" s="0" t="n">
        <v>30</v>
      </c>
    </row>
    <row r="3" customFormat="false" ht="12.8" hidden="false" customHeight="false" outlineLevel="0" collapsed="false">
      <c r="D3" s="1" t="s">
        <v>1</v>
      </c>
      <c r="E3" s="1"/>
      <c r="F3" s="1"/>
      <c r="G3" s="1"/>
      <c r="H3" s="2" t="s">
        <v>2</v>
      </c>
      <c r="I3" s="2"/>
      <c r="J3" s="2"/>
      <c r="K3" s="2"/>
      <c r="L3" s="2" t="s">
        <v>3</v>
      </c>
      <c r="M3" s="2"/>
      <c r="N3" s="2"/>
      <c r="O3" s="2"/>
      <c r="P3" s="2" t="s">
        <v>4</v>
      </c>
      <c r="Q3" s="2"/>
      <c r="R3" s="2"/>
      <c r="S3" s="2"/>
    </row>
    <row r="4" customFormat="false" ht="12.8" hidden="false" customHeight="false" outlineLevel="0" collapsed="false">
      <c r="A4" s="3" t="s">
        <v>5</v>
      </c>
      <c r="B4" s="3" t="s">
        <v>6</v>
      </c>
      <c r="C4" s="3" t="s">
        <v>7</v>
      </c>
      <c r="D4" s="4" t="s">
        <v>8</v>
      </c>
      <c r="E4" s="5" t="s">
        <v>7</v>
      </c>
      <c r="F4" s="5" t="s">
        <v>9</v>
      </c>
      <c r="G4" s="6" t="s">
        <v>6</v>
      </c>
      <c r="H4" s="4" t="s">
        <v>8</v>
      </c>
      <c r="I4" s="5" t="s">
        <v>7</v>
      </c>
      <c r="J4" s="5" t="s">
        <v>9</v>
      </c>
      <c r="K4" s="6" t="s">
        <v>6</v>
      </c>
      <c r="L4" s="4" t="s">
        <v>8</v>
      </c>
      <c r="M4" s="5" t="s">
        <v>7</v>
      </c>
      <c r="N4" s="5" t="s">
        <v>9</v>
      </c>
      <c r="O4" s="6" t="s">
        <v>6</v>
      </c>
      <c r="P4" s="4" t="s">
        <v>8</v>
      </c>
      <c r="Q4" s="5" t="s">
        <v>7</v>
      </c>
      <c r="R4" s="5" t="s">
        <v>9</v>
      </c>
      <c r="S4" s="6" t="s">
        <v>6</v>
      </c>
    </row>
    <row r="5" customFormat="false" ht="12.8" hidden="false" customHeight="false" outlineLevel="0" collapsed="false">
      <c r="A5" s="0" t="s">
        <v>10</v>
      </c>
      <c r="B5" s="0" t="n">
        <v>2</v>
      </c>
      <c r="C5" s="0" t="n">
        <f aca="false">B5*B$2</f>
        <v>60</v>
      </c>
      <c r="D5" s="7" t="n">
        <v>0.15</v>
      </c>
      <c r="E5" s="8" t="n">
        <f aca="false">B5*D5</f>
        <v>0.3</v>
      </c>
      <c r="F5" s="9" t="s">
        <v>11</v>
      </c>
      <c r="G5" s="10" t="n">
        <f aca="false">C5</f>
        <v>60</v>
      </c>
      <c r="H5" s="7" t="n">
        <v>0.81</v>
      </c>
      <c r="I5" s="8" t="n">
        <f aca="false">B5*H5</f>
        <v>1.62</v>
      </c>
      <c r="J5" s="9" t="s">
        <v>12</v>
      </c>
      <c r="K5" s="10"/>
      <c r="L5" s="7"/>
      <c r="M5" s="11" t="n">
        <f aca="false">B5*L5</f>
        <v>0</v>
      </c>
      <c r="N5" s="0" t="s">
        <v>13</v>
      </c>
      <c r="O5" s="10"/>
      <c r="P5" s="7"/>
      <c r="Q5" s="11" t="n">
        <f aca="false">B5*P5</f>
        <v>0</v>
      </c>
      <c r="R5" s="0" t="s">
        <v>14</v>
      </c>
      <c r="S5" s="10"/>
    </row>
    <row r="6" customFormat="false" ht="12.8" hidden="false" customHeight="false" outlineLevel="0" collapsed="false">
      <c r="A6" s="0" t="s">
        <v>15</v>
      </c>
      <c r="B6" s="0" t="n">
        <v>5</v>
      </c>
      <c r="C6" s="0" t="n">
        <f aca="false">B6*B$2</f>
        <v>150</v>
      </c>
      <c r="D6" s="7" t="n">
        <v>0.1</v>
      </c>
      <c r="E6" s="8" t="n">
        <f aca="false">B6*D6</f>
        <v>0.5</v>
      </c>
      <c r="F6" s="9" t="s">
        <v>16</v>
      </c>
      <c r="G6" s="10" t="n">
        <f aca="false">C6</f>
        <v>150</v>
      </c>
      <c r="H6" s="7" t="n">
        <v>0.69</v>
      </c>
      <c r="I6" s="8" t="n">
        <f aca="false">B6*H6</f>
        <v>3.45</v>
      </c>
      <c r="J6" s="9" t="s">
        <v>17</v>
      </c>
      <c r="K6" s="10"/>
      <c r="L6" s="7"/>
      <c r="M6" s="11" t="n">
        <f aca="false">B6*L6</f>
        <v>0</v>
      </c>
      <c r="N6" s="0" t="s">
        <v>13</v>
      </c>
      <c r="O6" s="10"/>
      <c r="P6" s="7"/>
      <c r="Q6" s="11" t="n">
        <f aca="false">B6*P6</f>
        <v>0</v>
      </c>
      <c r="R6" s="0" t="s">
        <v>14</v>
      </c>
      <c r="S6" s="10"/>
    </row>
    <row r="7" customFormat="false" ht="12.8" hidden="false" customHeight="false" outlineLevel="0" collapsed="false">
      <c r="A7" s="0" t="s">
        <v>18</v>
      </c>
      <c r="B7" s="0" t="n">
        <v>2</v>
      </c>
      <c r="C7" s="0" t="n">
        <f aca="false">B7*B$2</f>
        <v>60</v>
      </c>
      <c r="D7" s="7" t="n">
        <f aca="false">0.3/2</f>
        <v>0.15</v>
      </c>
      <c r="E7" s="8" t="n">
        <f aca="false">B7*D7</f>
        <v>0.3</v>
      </c>
      <c r="F7" s="9" t="s">
        <v>19</v>
      </c>
      <c r="G7" s="10" t="n">
        <v>30</v>
      </c>
      <c r="H7" s="7"/>
      <c r="I7" s="8" t="n">
        <f aca="false">B7*H7</f>
        <v>0</v>
      </c>
      <c r="J7" s="0" t="s">
        <v>20</v>
      </c>
      <c r="K7" s="10"/>
      <c r="L7" s="7" t="n">
        <f aca="false">0.13/5</f>
        <v>0.026</v>
      </c>
      <c r="M7" s="11" t="n">
        <f aca="false">B7*L7</f>
        <v>0.052</v>
      </c>
      <c r="N7" s="9" t="s">
        <v>21</v>
      </c>
      <c r="O7" s="10" t="n">
        <v>8</v>
      </c>
      <c r="P7" s="7" t="n">
        <v>0.29</v>
      </c>
      <c r="Q7" s="11" t="n">
        <f aca="false">B7*P7</f>
        <v>0.58</v>
      </c>
      <c r="R7" s="9" t="s">
        <v>22</v>
      </c>
      <c r="S7" s="10" t="n">
        <v>60</v>
      </c>
    </row>
    <row r="8" customFormat="false" ht="12.8" hidden="false" customHeight="false" outlineLevel="0" collapsed="false">
      <c r="A8" s="0" t="s">
        <v>23</v>
      </c>
      <c r="B8" s="0" t="n">
        <v>4</v>
      </c>
      <c r="C8" s="0" t="n">
        <f aca="false">B8*B$2</f>
        <v>120</v>
      </c>
      <c r="D8" s="7"/>
      <c r="E8" s="8" t="n">
        <f aca="false">B8*D8</f>
        <v>0</v>
      </c>
      <c r="F8" s="0" t="s">
        <v>14</v>
      </c>
      <c r="G8" s="10"/>
      <c r="H8" s="7"/>
      <c r="I8" s="8" t="n">
        <f aca="false">B8*H8</f>
        <v>0</v>
      </c>
      <c r="J8" s="0" t="s">
        <v>13</v>
      </c>
      <c r="K8" s="10"/>
      <c r="L8" s="0" t="n">
        <f aca="false">6.96/40</f>
        <v>0.174</v>
      </c>
      <c r="M8" s="11" t="n">
        <f aca="false">B8*L8</f>
        <v>0.696</v>
      </c>
      <c r="N8" s="9" t="s">
        <v>24</v>
      </c>
      <c r="O8" s="10" t="n">
        <v>3</v>
      </c>
      <c r="P8" s="7" t="n">
        <f aca="false">1.75/25</f>
        <v>0.07</v>
      </c>
      <c r="Q8" s="11" t="n">
        <f aca="false">B8*P8</f>
        <v>0.28</v>
      </c>
      <c r="R8" s="9" t="s">
        <v>25</v>
      </c>
      <c r="S8" s="10" t="n">
        <v>5</v>
      </c>
    </row>
    <row r="9" customFormat="false" ht="12.8" hidden="false" customHeight="false" outlineLevel="0" collapsed="false">
      <c r="A9" s="0" t="s">
        <v>26</v>
      </c>
      <c r="B9" s="0" t="n">
        <v>4</v>
      </c>
      <c r="C9" s="0" t="n">
        <f aca="false">B9*B$2</f>
        <v>120</v>
      </c>
      <c r="D9" s="7"/>
      <c r="E9" s="8" t="n">
        <f aca="false">B9*D9</f>
        <v>0</v>
      </c>
      <c r="F9" s="0" t="s">
        <v>14</v>
      </c>
      <c r="G9" s="10"/>
      <c r="H9" s="7"/>
      <c r="I9" s="8" t="n">
        <f aca="false">B9*H9</f>
        <v>0</v>
      </c>
      <c r="J9" s="0" t="s">
        <v>13</v>
      </c>
      <c r="K9" s="10"/>
      <c r="L9" s="7" t="n">
        <v>0</v>
      </c>
      <c r="M9" s="11" t="n">
        <f aca="false">B9*L9</f>
        <v>0</v>
      </c>
      <c r="N9" s="0" t="s">
        <v>27</v>
      </c>
      <c r="O9" s="10"/>
      <c r="P9" s="7" t="n">
        <f aca="false">2.69/100</f>
        <v>0.0269</v>
      </c>
      <c r="Q9" s="11" t="n">
        <f aca="false">B9*P9</f>
        <v>0.1076</v>
      </c>
      <c r="R9" s="9" t="s">
        <v>28</v>
      </c>
      <c r="S9" s="10" t="n">
        <v>2</v>
      </c>
    </row>
    <row r="10" customFormat="false" ht="12.8" hidden="false" customHeight="false" outlineLevel="0" collapsed="false">
      <c r="A10" s="12" t="s">
        <v>29</v>
      </c>
      <c r="B10" s="0" t="n">
        <v>4</v>
      </c>
      <c r="C10" s="0" t="n">
        <f aca="false">B10*B$2</f>
        <v>120</v>
      </c>
      <c r="D10" s="7"/>
      <c r="E10" s="8" t="n">
        <f aca="false">B10*D10</f>
        <v>0</v>
      </c>
      <c r="F10" s="0" t="s">
        <v>14</v>
      </c>
      <c r="G10" s="10"/>
      <c r="H10" s="7"/>
      <c r="I10" s="8" t="n">
        <f aca="false">B10*H10</f>
        <v>0</v>
      </c>
      <c r="J10" s="0" t="s">
        <v>13</v>
      </c>
      <c r="K10" s="10"/>
      <c r="L10" s="7" t="n">
        <v>0</v>
      </c>
      <c r="M10" s="11" t="n">
        <f aca="false">B10*L10</f>
        <v>0</v>
      </c>
      <c r="N10" s="0" t="s">
        <v>27</v>
      </c>
      <c r="O10" s="10"/>
      <c r="P10" s="7" t="n">
        <f aca="false">1.95/100</f>
        <v>0.0195</v>
      </c>
      <c r="Q10" s="11" t="n">
        <f aca="false">B10*P10</f>
        <v>0.078</v>
      </c>
      <c r="R10" s="9" t="s">
        <v>30</v>
      </c>
      <c r="S10" s="10" t="n">
        <v>2</v>
      </c>
    </row>
    <row r="11" customFormat="false" ht="12.8" hidden="false" customHeight="false" outlineLevel="0" collapsed="false">
      <c r="A11" s="0" t="s">
        <v>31</v>
      </c>
      <c r="B11" s="0" t="n">
        <v>1</v>
      </c>
      <c r="C11" s="0" t="n">
        <f aca="false">B11*B$2</f>
        <v>30</v>
      </c>
      <c r="D11" s="7" t="n">
        <f aca="false">3.75/(5*6)</f>
        <v>0.125</v>
      </c>
      <c r="E11" s="8" t="n">
        <f aca="false">B11*D11</f>
        <v>0.125</v>
      </c>
      <c r="F11" s="9" t="s">
        <v>32</v>
      </c>
      <c r="G11" s="10" t="n">
        <v>1</v>
      </c>
      <c r="H11" s="7"/>
      <c r="I11" s="8" t="n">
        <f aca="false">B11*H11</f>
        <v>0</v>
      </c>
      <c r="J11" s="0" t="s">
        <v>33</v>
      </c>
      <c r="K11" s="10"/>
      <c r="L11" s="7"/>
      <c r="M11" s="11" t="n">
        <f aca="false">B11*L11</f>
        <v>0</v>
      </c>
      <c r="N11" s="0" t="s">
        <v>33</v>
      </c>
      <c r="O11" s="10"/>
      <c r="P11" s="7"/>
      <c r="Q11" s="11" t="n">
        <f aca="false">B11*P11</f>
        <v>0</v>
      </c>
      <c r="S11" s="10"/>
      <c r="T11" s="0" t="s">
        <v>34</v>
      </c>
    </row>
    <row r="12" customFormat="false" ht="12.8" hidden="false" customHeight="false" outlineLevel="0" collapsed="false">
      <c r="A12" s="0" t="s">
        <v>35</v>
      </c>
      <c r="B12" s="0" t="n">
        <v>7</v>
      </c>
      <c r="C12" s="0" t="n">
        <f aca="false">B12*B$2</f>
        <v>210</v>
      </c>
      <c r="D12" s="13" t="n">
        <f aca="false">2.76/(10*10)</f>
        <v>0.0276</v>
      </c>
      <c r="E12" s="14" t="n">
        <f aca="false">B12*D12</f>
        <v>0.1932</v>
      </c>
      <c r="F12" s="15" t="s">
        <v>36</v>
      </c>
      <c r="G12" s="16" t="n">
        <v>3</v>
      </c>
      <c r="H12" s="13"/>
      <c r="I12" s="15" t="n">
        <f aca="false">B12*H12</f>
        <v>0</v>
      </c>
      <c r="J12" s="17" t="s">
        <v>33</v>
      </c>
      <c r="K12" s="16"/>
      <c r="L12" s="13"/>
      <c r="M12" s="18" t="n">
        <f aca="false">B12*L12</f>
        <v>0</v>
      </c>
      <c r="N12" s="17" t="s">
        <v>33</v>
      </c>
      <c r="O12" s="16"/>
      <c r="P12" s="13"/>
      <c r="Q12" s="18" t="n">
        <f aca="false">B12*P12</f>
        <v>0</v>
      </c>
      <c r="R12" s="15"/>
      <c r="S12" s="16"/>
      <c r="T12" s="0" t="s">
        <v>34</v>
      </c>
    </row>
    <row r="13" customFormat="false" ht="12.8" hidden="false" customHeight="false" outlineLevel="0" collapsed="false">
      <c r="A13" s="3"/>
    </row>
    <row r="15" customFormat="false" ht="12.8" hidden="false" customHeight="false" outlineLevel="0" collapsed="false">
      <c r="A15" s="0" t="s">
        <v>37</v>
      </c>
    </row>
    <row r="17" customFormat="false" ht="12.8" hidden="false" customHeight="false" outlineLevel="0" collapsed="false">
      <c r="A17" s="3" t="s">
        <v>38</v>
      </c>
      <c r="E17" s="19" t="n">
        <f aca="false">SUM(E5:E6,E11:E12)</f>
        <v>1.1182</v>
      </c>
      <c r="Q17" s="19" t="n">
        <f aca="false">SUM(Q7:Q10)</f>
        <v>1.0456</v>
      </c>
      <c r="T17" s="19" t="n">
        <f aca="false">SUM(B17:S17)</f>
        <v>2.1638</v>
      </c>
    </row>
  </sheetData>
  <mergeCells count="4">
    <mergeCell ref="D3:G3"/>
    <mergeCell ref="H3:K3"/>
    <mergeCell ref="L3:O3"/>
    <mergeCell ref="P3:S3"/>
  </mergeCells>
  <hyperlinks>
    <hyperlink ref="F5" r:id="rId1" display="451492"/>
    <hyperlink ref="J5" r:id="rId2" display="BKL 10120946"/>
    <hyperlink ref="F6" r:id="rId3" display="451552"/>
    <hyperlink ref="J6" r:id="rId4" display="BKL 10120944"/>
    <hyperlink ref="F7" r:id="rId5" display="451498 (*)"/>
    <hyperlink ref="N7" r:id="rId6" display="214 (*)"/>
    <hyperlink ref="R7" r:id="rId7" display="ZB03013"/>
    <hyperlink ref="N8" r:id="rId8" display="100407 incl. Kontakte"/>
    <hyperlink ref="R8" r:id="rId9" display="ZB00003-002"/>
    <hyperlink ref="R9" r:id="rId10" display="PO1931"/>
    <hyperlink ref="R10" r:id="rId11" display="PO1930"/>
    <hyperlink ref="F11" r:id="rId12" display="452918"/>
    <hyperlink ref="F12" r:id="rId13" display="45155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2026-10-06T00:08:16Z</dcterms:created>
  <dc:creator/>
  <dc:description/>
  <dc:language>de-DE</dc:language>
  <cp:lastModifiedBy/>
  <dcterms:modified xsi:type="dcterms:W3CDTF">2026-10-06T23:42:01Z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